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X:\Kaalumine\Pakkumised\EP\EP 2025\EP 26.06.2025\"/>
    </mc:Choice>
  </mc:AlternateContent>
  <xr:revisionPtr revIDLastSave="0" documentId="13_ncr:1_{CAE6ECA3-88FB-4522-9A9C-51F0ACB39B53}" xr6:coauthVersionLast="47" xr6:coauthVersionMax="47" xr10:uidLastSave="{00000000-0000-0000-0000-000000000000}"/>
  <bookViews>
    <workbookView xWindow="-108" yWindow="-108" windowWidth="23256" windowHeight="12456" xr2:uid="{00000000-000D-0000-FFFF-FFFF00000000}"/>
  </bookViews>
  <sheets>
    <sheet name="Müügiobjektid" sheetId="6" r:id="rId1"/>
    <sheet name="asukoht" sheetId="9" r:id="rId2"/>
  </sheets>
  <externalReferences>
    <externalReference r:id="rId3"/>
    <externalReference r:id="rId4"/>
  </externalReferences>
  <definedNames>
    <definedName name="_xlnm._FilterDatabase" localSheetId="1" hidden="1">asukoht!$A$1:$D$94</definedName>
    <definedName name="Mahukonstant">[1]Batch!$AB$3</definedName>
    <definedName name="Männipalk">#REF!</definedName>
    <definedName name="sort">[2]pakkumine!$C$223:$C$229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9" l="1"/>
  <c r="D76" i="9"/>
</calcChain>
</file>

<file path=xl/sharedStrings.xml><?xml version="1.0" encoding="utf-8"?>
<sst xmlns="http://schemas.openxmlformats.org/spreadsheetml/2006/main" count="271" uniqueCount="118">
  <si>
    <t>Metsandik</t>
  </si>
  <si>
    <t>RMK METSAMATERJALI KIRJALIKU ENAMPAKKUMISE PAKKUMUSE VORM</t>
  </si>
  <si>
    <t>Kuupäev</t>
  </si>
  <si>
    <t>Pakkuja nimi</t>
  </si>
  <si>
    <t>Registrikood</t>
  </si>
  <si>
    <t>Aadress</t>
  </si>
  <si>
    <t>Telefon ja e-posti aadress</t>
  </si>
  <si>
    <t>Pakutav tagatis (krediidiasutuse garantiikiri või tagatisraha) ja ettepanek maksetähtaja kohta või tasutav ettemaks</t>
  </si>
  <si>
    <t>Pakkuja poolt osta soovitav metsamaterjali kogus, metsamaterjali tarnekoht ja pakkuja hinnapakkumine eurodes kuupmeetri kohta ilma käibemaksuta palkhaaval mõõdetavatel metsamaterjalidel RMK palkide standardis toodud kvaliteeditingimustest ja mõõtmise nõuetest lähtudes, virnmaterjalina mõõdetavatel metsamaterjalidel (paberipuidu ja küttepuidu sortimendid) RMK virnmaterjalide standardis toodud virnastusmahu ja virnatäiuse määramise metoodikast ja kvaliteeditingimustest lähtudes.</t>
  </si>
  <si>
    <t>Müügi-objekti nr</t>
  </si>
  <si>
    <t>Metsamaterjali nimetus</t>
  </si>
  <si>
    <t xml:space="preserve">Ligikaudne kogus (m³) </t>
  </si>
  <si>
    <t>Asukoht</t>
  </si>
  <si>
    <t>Kvaliteet ja mõõdud</t>
  </si>
  <si>
    <t xml:space="preserve">Tarneaeg </t>
  </si>
  <si>
    <t>Diameetri vahemik koore alt (cm) *</t>
  </si>
  <si>
    <t xml:space="preserve">Alghind (EUR/m³) metsamaterjali tarnekohas    </t>
  </si>
  <si>
    <t>Pakkuja ostusoov  kokku (m³)**</t>
  </si>
  <si>
    <t>Pakkuja ettepanek ülemõõduta pikkusele (m) ja diameetri-vahemikule (cm)</t>
  </si>
  <si>
    <t>Metsamaterjali tarnekoht (Ostja lao asukoha aadress)</t>
  </si>
  <si>
    <t>Pakutav hind metsamaterjali tarnekohas käibemaksuta (EUR/m³) ***</t>
  </si>
  <si>
    <t>*) Diameetrivahemikud on jagamatud ja eraldi sorteerimisele ei kuulu.</t>
  </si>
  <si>
    <t>Pakkuja esindaja nimi ja  allkiri ________________________________</t>
  </si>
  <si>
    <t xml:space="preserve">Kogus m³ </t>
  </si>
  <si>
    <r>
      <t>**) Minimaalne vastuvõetav ostusoov müügiobjekti kohta on 60 m3.</t>
    </r>
    <r>
      <rPr>
        <b/>
        <sz val="10"/>
        <color rgb="FFFF0000"/>
        <rFont val="Times New Roman"/>
        <family val="1"/>
      </rPr>
      <t xml:space="preserve"> Ostja võtab teadmiseks, et metsamaterjal müüakse FSC ja/või PEFC sertifitseerituna ning müügiobjekt on tervik ja serdi alusel eraldi müümisele ei kuulu. Pakkuja pakkumus loetakse vaikimisi esitatuks FSC ja/või PEFC serditud metsamaterjalile. FOB tarnetingimusel pakkumuse esitamisel lisada ostusoovile info minimaalsest kogusest, millest väiksema eduka koguse korral pakkuja loobub pakkumusest.</t>
    </r>
  </si>
  <si>
    <t>Audru</t>
  </si>
  <si>
    <t>Iisaku</t>
  </si>
  <si>
    <t>Kanaküla</t>
  </si>
  <si>
    <t>Kihelkonna</t>
  </si>
  <si>
    <t>Kilingi</t>
  </si>
  <si>
    <t>Kullamaa</t>
  </si>
  <si>
    <t>Kunda</t>
  </si>
  <si>
    <t>Kuressaare</t>
  </si>
  <si>
    <t>Kõnnu</t>
  </si>
  <si>
    <t>Kärdla</t>
  </si>
  <si>
    <t>Käru</t>
  </si>
  <si>
    <t>Laiksaare</t>
  </si>
  <si>
    <t>Mahtra</t>
  </si>
  <si>
    <t>Märjamaa</t>
  </si>
  <si>
    <t>Orajõe</t>
  </si>
  <si>
    <t>Piirsalu</t>
  </si>
  <si>
    <t>Riisselja</t>
  </si>
  <si>
    <t>Surju</t>
  </si>
  <si>
    <t>Taali</t>
  </si>
  <si>
    <t>Varbla</t>
  </si>
  <si>
    <t>Vändra</t>
  </si>
  <si>
    <t>Õisu</t>
  </si>
  <si>
    <t>Putkaste</t>
  </si>
  <si>
    <t>Keila</t>
  </si>
  <si>
    <t>Kasepaberipuit</t>
  </si>
  <si>
    <t>Kokku</t>
  </si>
  <si>
    <t>Kuusepaberipuit</t>
  </si>
  <si>
    <t>Männipaberipuit</t>
  </si>
  <si>
    <t xml:space="preserve">RMK virnmaterjalide standard; tabel 2.2; pikkus 2,7-3,3 m  </t>
  </si>
  <si>
    <t xml:space="preserve">RMK virnmaterjalide standard; tabel 2.3; pikkus 2,7-3,3 m  </t>
  </si>
  <si>
    <t xml:space="preserve">RMK virnmaterjalide standard; tabel 2.4; pikkus 2,7-3,3 m  </t>
  </si>
  <si>
    <t xml:space="preserve"> 6-70</t>
  </si>
  <si>
    <t>ei kohaldata</t>
  </si>
  <si>
    <t>Küttepuit</t>
  </si>
  <si>
    <t>Okaspuuküttepuit</t>
  </si>
  <si>
    <t>4-100</t>
  </si>
  <si>
    <t xml:space="preserve">RMK virnmaterjalide standard; tabel 2.6; pikkus 2,7-3,3 m  </t>
  </si>
  <si>
    <t xml:space="preserve">RMK virnmaterjalide standard; tabel 2.5; pikkus 2,7-3,3 m  </t>
  </si>
  <si>
    <t xml:space="preserve">RMK virnmaterjalide standard; tabel 2.1; pikkus 2,7-3,3 m  </t>
  </si>
  <si>
    <t>Haavapaberipuit</t>
  </si>
  <si>
    <t>Virnmaterjali standard</t>
  </si>
  <si>
    <t>Edela ja Kirde regioon</t>
  </si>
  <si>
    <t>Olen tutvunud RMK metsamaterjali müügilepingu tüüptingimustega ja RMK virnmaterjalide standardiga ning nõustun ostma müügiobjekti pakkumisel kehtestatud tingimustel, sealhulgas esitada enne lepingu sõlmimist krediidiasutuse garantiikiri või tasuda RMK kontole tagatisraha summas, mis vastab lepingu maksetähtajale vastava arvestusliku koguse maksumusele koos käibemaksuga, millele on lisatud 0,5 kordne ühe kuu metsamaterjali koguse maksumus koos käibemaksuga või tasuma ettemaksu.</t>
  </si>
  <si>
    <t>Edela regioon (Saaremaa)</t>
  </si>
  <si>
    <t>Edela regioon (Hiiumaa)</t>
  </si>
  <si>
    <t>01.07.2025-30.09.2025</t>
  </si>
  <si>
    <t>Tehnoloogiline LP</t>
  </si>
  <si>
    <t>Tehnoloogiline OP</t>
  </si>
  <si>
    <t>RMK virnmaterjalide standard; tabel 2.3; pikkus 2,7-3,3 m</t>
  </si>
  <si>
    <t>Kagu regioon</t>
  </si>
  <si>
    <t>RMK virnmaterjalide standard; tabel 2.8; pikkus 2,7-3,3 m</t>
  </si>
  <si>
    <t xml:space="preserve">RMK virnmaterjalide standard; tabel 2.7; pikkus 2,7-3,3 m  </t>
  </si>
  <si>
    <t>3-100</t>
  </si>
  <si>
    <t>Aegviidu</t>
  </si>
  <si>
    <t>Aimla</t>
  </si>
  <si>
    <t>Avinurme</t>
  </si>
  <si>
    <t>Ida-Saku</t>
  </si>
  <si>
    <t>Jõhvi</t>
  </si>
  <si>
    <t>Karksi</t>
  </si>
  <si>
    <t>Kohtla</t>
  </si>
  <si>
    <t>Kõpu</t>
  </si>
  <si>
    <t>Kuusalu</t>
  </si>
  <si>
    <t>Loobu</t>
  </si>
  <si>
    <t>Narva</t>
  </si>
  <si>
    <t>Pagari</t>
  </si>
  <si>
    <t>Paunküla</t>
  </si>
  <si>
    <t>Permisküla</t>
  </si>
  <si>
    <t>Põlula</t>
  </si>
  <si>
    <t>Rava</t>
  </si>
  <si>
    <t>Sonda</t>
  </si>
  <si>
    <t>Torma</t>
  </si>
  <si>
    <t>Triigi</t>
  </si>
  <si>
    <t>Tudu</t>
  </si>
  <si>
    <t>Väätsa</t>
  </si>
  <si>
    <t>Vaivara</t>
  </si>
  <si>
    <t>Varangu</t>
  </si>
  <si>
    <t>Venevere</t>
  </si>
  <si>
    <t>Viimsi</t>
  </si>
  <si>
    <t>Elva</t>
  </si>
  <si>
    <t>Halliku</t>
  </si>
  <si>
    <t>Kastre</t>
  </si>
  <si>
    <t>Koorküla</t>
  </si>
  <si>
    <t>Laeva</t>
  </si>
  <si>
    <t>Laiuse</t>
  </si>
  <si>
    <t>Misso</t>
  </si>
  <si>
    <t>Pikknurme</t>
  </si>
  <si>
    <t>Tartu</t>
  </si>
  <si>
    <t>Ilumetsa</t>
  </si>
  <si>
    <t>Orava</t>
  </si>
  <si>
    <t>Räpina</t>
  </si>
  <si>
    <t>Taheva</t>
  </si>
  <si>
    <t>Kirjalike pakkumuste esitamise tähtaeg on 26.06.2025 a kell 10:00 e-posti aadressile puiduturustus@rmk.ee või aadressile RMK, Rava kontor, Ambla, 73514 Järva maakond</t>
  </si>
  <si>
    <r>
      <t>***) Müügiobjektide nr 8 ja 9 Kagu regiooni kogustele tarnekohaga väljaspool Kagu regiooni kohaldatakse alghinda 58 EUR/m3. P</t>
    </r>
    <r>
      <rPr>
        <b/>
        <sz val="10"/>
        <rFont val="Times New Roman"/>
        <family val="1"/>
      </rPr>
      <t>aberipuidu ja tehnoloogilise puidu praagi hind 20,00 EUR/m3.</t>
    </r>
    <r>
      <rPr>
        <b/>
        <sz val="10"/>
        <rFont val="Times New Roman"/>
        <family val="1"/>
        <charset val="186"/>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</si>
</sst>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86"/>
      <scheme val="minor"/>
    </font>
    <font>
      <sz val="8"/>
      <name val="Calibri"/>
      <family val="2"/>
      <charset val="186"/>
      <scheme val="minor"/>
    </font>
    <font>
      <sz val="10"/>
      <name val="Arial"/>
      <family val="2"/>
    </font>
    <font>
      <u/>
      <sz val="11"/>
      <color theme="10"/>
      <name val="Calibri"/>
      <family val="2"/>
      <charset val="186"/>
      <scheme val="minor"/>
    </font>
    <font>
      <b/>
      <sz val="10"/>
      <name val="Times New Roman"/>
      <family val="1"/>
    </font>
    <font>
      <sz val="10"/>
      <name val="Times New Roman"/>
      <family val="1"/>
    </font>
    <font>
      <i/>
      <sz val="10"/>
      <name val="Times New Roman"/>
      <family val="1"/>
    </font>
    <font>
      <sz val="11"/>
      <name val="Times New Roman"/>
      <family val="1"/>
    </font>
    <font>
      <sz val="12"/>
      <name val="Times New Roman"/>
      <family val="1"/>
      <charset val="186"/>
    </font>
    <font>
      <b/>
      <sz val="10"/>
      <color rgb="FFFF0000"/>
      <name val="Times New Roman"/>
      <family val="1"/>
    </font>
    <font>
      <b/>
      <sz val="10"/>
      <name val="Times New Roman"/>
      <family val="1"/>
      <charset val="186"/>
    </font>
    <font>
      <b/>
      <sz val="10"/>
      <color indexed="10"/>
      <name val="Times New Roman"/>
      <family val="1"/>
    </font>
    <font>
      <sz val="10"/>
      <name val="Times New Roman"/>
      <family val="1"/>
      <charset val="186"/>
    </font>
    <font>
      <sz val="10"/>
      <color theme="1"/>
      <name val="Calibri"/>
      <family val="2"/>
      <charset val="186"/>
      <scheme val="minor"/>
    </font>
    <font>
      <b/>
      <sz val="10"/>
      <color theme="1"/>
      <name val="Calibri"/>
      <family val="2"/>
      <charset val="186"/>
      <scheme val="minor"/>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5">
    <xf numFmtId="0" fontId="0" fillId="0" borderId="0"/>
    <xf numFmtId="0" fontId="2" fillId="0" borderId="0"/>
    <xf numFmtId="0" fontId="2" fillId="0" borderId="0"/>
    <xf numFmtId="0" fontId="3" fillId="0" borderId="0" applyNumberFormat="0" applyFill="0" applyBorder="0" applyAlignment="0" applyProtection="0"/>
    <xf numFmtId="0" fontId="2" fillId="0" borderId="0"/>
  </cellStyleXfs>
  <cellXfs count="83">
    <xf numFmtId="0" fontId="0" fillId="0" borderId="0" xfId="0"/>
    <xf numFmtId="0" fontId="4" fillId="3" borderId="0" xfId="0" applyFont="1" applyFill="1"/>
    <xf numFmtId="0" fontId="5" fillId="3" borderId="0" xfId="0" applyFont="1" applyFill="1"/>
    <xf numFmtId="0" fontId="5" fillId="3" borderId="0" xfId="0" applyFont="1" applyFill="1" applyAlignment="1">
      <alignment horizontal="center" vertical="center"/>
    </xf>
    <xf numFmtId="0" fontId="5" fillId="0" borderId="0" xfId="0" applyFont="1"/>
    <xf numFmtId="0" fontId="5" fillId="3" borderId="4" xfId="0" applyFont="1" applyFill="1" applyBorder="1" applyAlignment="1">
      <alignment horizontal="left"/>
    </xf>
    <xf numFmtId="0" fontId="5" fillId="3" borderId="2" xfId="0" applyFont="1" applyFill="1" applyBorder="1" applyAlignment="1">
      <alignment horizontal="left"/>
    </xf>
    <xf numFmtId="0" fontId="5" fillId="3" borderId="4" xfId="0" applyFont="1" applyFill="1" applyBorder="1"/>
    <xf numFmtId="0" fontId="5" fillId="3" borderId="5" xfId="0" applyFont="1" applyFill="1" applyBorder="1"/>
    <xf numFmtId="0" fontId="5" fillId="3" borderId="5" xfId="0" applyFont="1" applyFill="1" applyBorder="1" applyAlignment="1">
      <alignment horizontal="center" vertical="center"/>
    </xf>
    <xf numFmtId="0" fontId="5" fillId="3" borderId="2" xfId="0" applyFont="1" applyFill="1" applyBorder="1"/>
    <xf numFmtId="0" fontId="5" fillId="0" borderId="4" xfId="0" applyFont="1" applyBorder="1" applyAlignment="1">
      <alignment horizontal="left"/>
    </xf>
    <xf numFmtId="0" fontId="5" fillId="0" borderId="2" xfId="0" applyFont="1" applyBorder="1" applyAlignment="1">
      <alignment horizontal="left"/>
    </xf>
    <xf numFmtId="0" fontId="4" fillId="0" borderId="1" xfId="0" applyFont="1" applyBorder="1" applyAlignment="1">
      <alignment horizontal="center" vertical="top" wrapText="1"/>
    </xf>
    <xf numFmtId="0" fontId="4" fillId="0" borderId="2" xfId="0" applyFont="1" applyBorder="1" applyAlignment="1">
      <alignment horizontal="center" vertical="top" wrapText="1"/>
    </xf>
    <xf numFmtId="0" fontId="5" fillId="0" borderId="3" xfId="0" applyFont="1" applyBorder="1" applyAlignment="1">
      <alignment horizontal="center" vertical="center" wrapText="1"/>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7" fillId="0" borderId="0" xfId="0" applyFont="1"/>
    <xf numFmtId="0" fontId="5" fillId="0" borderId="1" xfId="0" applyFont="1" applyBorder="1" applyAlignment="1">
      <alignment horizontal="center" vertical="center" wrapText="1"/>
    </xf>
    <xf numFmtId="0" fontId="8" fillId="0" borderId="0" xfId="0" applyFont="1"/>
    <xf numFmtId="0" fontId="5" fillId="0" borderId="1" xfId="0" applyFont="1" applyBorder="1" applyAlignment="1">
      <alignment horizontal="center" vertical="center"/>
    </xf>
    <xf numFmtId="0" fontId="4" fillId="0" borderId="3" xfId="0" applyFont="1" applyBorder="1" applyAlignment="1">
      <alignment horizontal="center" vertical="top" wrapText="1"/>
    </xf>
    <xf numFmtId="17" fontId="5" fillId="0" borderId="1" xfId="0" applyNumberFormat="1" applyFont="1" applyBorder="1" applyAlignment="1">
      <alignment horizontal="center" vertical="center" wrapText="1"/>
    </xf>
    <xf numFmtId="0" fontId="5" fillId="0" borderId="0" xfId="0" applyFont="1" applyAlignment="1">
      <alignment horizontal="center" vertical="center" wrapText="1"/>
    </xf>
    <xf numFmtId="0" fontId="3" fillId="0" borderId="0" xfId="3" applyBorder="1" applyAlignment="1" applyProtection="1">
      <alignment horizontal="center" vertical="center"/>
    </xf>
    <xf numFmtId="17" fontId="5" fillId="0" borderId="0" xfId="0" applyNumberFormat="1" applyFont="1" applyAlignment="1">
      <alignment horizontal="center" vertical="center" wrapText="1"/>
    </xf>
    <xf numFmtId="0" fontId="4" fillId="0" borderId="0" xfId="0" applyFont="1" applyAlignment="1">
      <alignment horizontal="center" vertical="top" wrapText="1"/>
    </xf>
    <xf numFmtId="0" fontId="5" fillId="2" borderId="0" xfId="0" applyFont="1" applyFill="1" applyAlignment="1">
      <alignment horizontal="center" vertical="center" wrapText="1"/>
    </xf>
    <xf numFmtId="14" fontId="11" fillId="3" borderId="0" xfId="0" applyNumberFormat="1" applyFont="1" applyFill="1"/>
    <xf numFmtId="2" fontId="5" fillId="0" borderId="0" xfId="0" applyNumberFormat="1" applyFont="1"/>
    <xf numFmtId="0" fontId="5" fillId="0" borderId="0" xfId="0" applyFont="1" applyAlignment="1">
      <alignment horizontal="center" vertical="center"/>
    </xf>
    <xf numFmtId="0" fontId="3" fillId="0" borderId="0" xfId="3" applyFill="1" applyAlignment="1" applyProtection="1"/>
    <xf numFmtId="0" fontId="3" fillId="0" borderId="6" xfId="3" applyBorder="1" applyAlignment="1" applyProtection="1">
      <alignment horizontal="center" vertical="center"/>
    </xf>
    <xf numFmtId="0" fontId="5" fillId="0" borderId="6" xfId="0" applyFont="1" applyBorder="1" applyAlignment="1">
      <alignment horizontal="center" vertical="center" wrapText="1"/>
    </xf>
    <xf numFmtId="17" fontId="5" fillId="0" borderId="6" xfId="0" applyNumberFormat="1" applyFont="1" applyBorder="1" applyAlignment="1">
      <alignment horizontal="center" vertical="center" wrapText="1"/>
    </xf>
    <xf numFmtId="0" fontId="5" fillId="0" borderId="7" xfId="0" applyFont="1" applyBorder="1" applyAlignment="1">
      <alignment horizontal="center" vertical="center" wrapText="1"/>
    </xf>
    <xf numFmtId="0" fontId="12" fillId="0" borderId="6" xfId="0" applyFont="1" applyBorder="1" applyAlignment="1">
      <alignment horizontal="center" vertical="center" wrapText="1"/>
    </xf>
    <xf numFmtId="0" fontId="4" fillId="2" borderId="1" xfId="4" applyFont="1" applyFill="1" applyBorder="1" applyAlignment="1">
      <alignment vertical="center"/>
    </xf>
    <xf numFmtId="0" fontId="13" fillId="0" borderId="0" xfId="0" applyFont="1"/>
    <xf numFmtId="0" fontId="13" fillId="0" borderId="1" xfId="0" applyFont="1" applyBorder="1"/>
    <xf numFmtId="0" fontId="14" fillId="0" borderId="1" xfId="0" applyFont="1" applyBorder="1"/>
    <xf numFmtId="0" fontId="5" fillId="2" borderId="3"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6"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6" xfId="0" applyFont="1" applyBorder="1" applyAlignment="1">
      <alignment horizontal="center" vertical="center" wrapText="1"/>
    </xf>
    <xf numFmtId="0" fontId="12" fillId="2" borderId="3" xfId="0" applyFont="1" applyFill="1" applyBorder="1" applyAlignment="1">
      <alignment horizontal="center" vertical="center" wrapText="1"/>
    </xf>
    <xf numFmtId="0" fontId="12" fillId="2" borderId="6" xfId="0" applyFont="1" applyFill="1" applyBorder="1" applyAlignment="1">
      <alignment horizontal="center" vertical="center" wrapText="1"/>
    </xf>
    <xf numFmtId="17" fontId="5" fillId="0" borderId="3" xfId="0" applyNumberFormat="1" applyFont="1" applyBorder="1" applyAlignment="1">
      <alignment horizontal="center" vertical="center" wrapText="1"/>
    </xf>
    <xf numFmtId="17" fontId="5" fillId="0" borderId="6" xfId="0" applyNumberFormat="1" applyFont="1" applyBorder="1" applyAlignment="1">
      <alignment horizontal="center" vertical="center" wrapText="1"/>
    </xf>
    <xf numFmtId="0" fontId="3" fillId="0" borderId="3" xfId="3" applyBorder="1" applyAlignment="1" applyProtection="1">
      <alignment horizontal="center" vertical="center"/>
    </xf>
    <xf numFmtId="0" fontId="3" fillId="0" borderId="6" xfId="3" applyBorder="1" applyAlignment="1" applyProtection="1">
      <alignment horizontal="center" vertical="center"/>
    </xf>
    <xf numFmtId="0" fontId="3" fillId="0" borderId="3" xfId="3" applyBorder="1" applyAlignment="1" applyProtection="1">
      <alignment horizontal="center" vertical="center" wrapText="1"/>
    </xf>
    <xf numFmtId="0" fontId="3" fillId="0" borderId="6" xfId="3" applyBorder="1" applyAlignment="1" applyProtection="1">
      <alignment horizontal="center" vertical="center" wrapText="1"/>
    </xf>
    <xf numFmtId="0" fontId="4" fillId="3" borderId="4" xfId="0" applyFont="1" applyFill="1" applyBorder="1" applyAlignment="1">
      <alignment horizontal="left" wrapText="1"/>
    </xf>
    <xf numFmtId="0" fontId="4" fillId="3" borderId="5" xfId="0" applyFont="1" applyFill="1" applyBorder="1" applyAlignment="1">
      <alignment horizontal="left" wrapText="1"/>
    </xf>
    <xf numFmtId="0" fontId="4" fillId="3" borderId="2" xfId="0" applyFont="1" applyFill="1" applyBorder="1" applyAlignment="1">
      <alignment horizontal="left" wrapText="1"/>
    </xf>
    <xf numFmtId="0" fontId="10" fillId="2" borderId="4" xfId="0" applyFont="1" applyFill="1" applyBorder="1" applyAlignment="1">
      <alignment horizontal="left" vertical="top" wrapText="1"/>
    </xf>
    <xf numFmtId="0" fontId="10" fillId="2" borderId="5" xfId="0" applyFont="1" applyFill="1" applyBorder="1" applyAlignment="1">
      <alignment horizontal="left" vertical="top" wrapText="1"/>
    </xf>
    <xf numFmtId="0" fontId="10" fillId="2" borderId="2" xfId="0" applyFont="1" applyFill="1" applyBorder="1" applyAlignment="1">
      <alignment horizontal="left" vertical="top" wrapText="1"/>
    </xf>
    <xf numFmtId="0" fontId="4" fillId="0" borderId="4" xfId="0" applyFont="1" applyBorder="1" applyAlignment="1">
      <alignment horizontal="left" vertical="center" wrapText="1"/>
    </xf>
    <xf numFmtId="0" fontId="4" fillId="0" borderId="5" xfId="0" applyFont="1" applyBorder="1" applyAlignment="1">
      <alignment horizontal="left" vertical="center" wrapText="1"/>
    </xf>
    <xf numFmtId="0" fontId="4" fillId="0" borderId="2" xfId="0" applyFont="1" applyBorder="1" applyAlignment="1">
      <alignment horizontal="left" vertical="center" wrapText="1"/>
    </xf>
    <xf numFmtId="0" fontId="4" fillId="3" borderId="4"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2" xfId="0" applyFont="1" applyFill="1" applyBorder="1" applyAlignment="1">
      <alignment horizontal="left" vertical="center" wrapText="1"/>
    </xf>
    <xf numFmtId="0" fontId="5" fillId="3" borderId="4" xfId="0" applyFont="1" applyFill="1" applyBorder="1" applyAlignment="1">
      <alignment horizontal="center"/>
    </xf>
    <xf numFmtId="0" fontId="5" fillId="3" borderId="5" xfId="0" applyFont="1" applyFill="1" applyBorder="1" applyAlignment="1">
      <alignment horizontal="center"/>
    </xf>
    <xf numFmtId="0" fontId="5" fillId="3" borderId="2" xfId="0" applyFont="1" applyFill="1" applyBorder="1" applyAlignment="1">
      <alignment horizontal="center"/>
    </xf>
    <xf numFmtId="0" fontId="5" fillId="3" borderId="4" xfId="0" applyFont="1" applyFill="1" applyBorder="1" applyAlignment="1">
      <alignment horizontal="left"/>
    </xf>
    <xf numFmtId="0" fontId="5" fillId="3" borderId="5" xfId="0" applyFont="1" applyFill="1" applyBorder="1" applyAlignment="1">
      <alignment horizontal="left"/>
    </xf>
    <xf numFmtId="0" fontId="5" fillId="3" borderId="2" xfId="0" applyFont="1" applyFill="1" applyBorder="1" applyAlignment="1">
      <alignment horizontal="left"/>
    </xf>
    <xf numFmtId="0" fontId="5" fillId="3" borderId="4" xfId="0" applyFont="1" applyFill="1" applyBorder="1" applyAlignment="1">
      <alignment horizontal="left" vertical="center" wrapText="1"/>
    </xf>
    <xf numFmtId="0" fontId="5" fillId="3" borderId="2" xfId="0" applyFont="1" applyFill="1" applyBorder="1" applyAlignment="1">
      <alignment horizontal="left" vertical="center" wrapText="1"/>
    </xf>
    <xf numFmtId="0" fontId="6" fillId="0" borderId="4" xfId="0" applyFont="1" applyBorder="1" applyAlignment="1">
      <alignment horizontal="left" wrapText="1"/>
    </xf>
    <xf numFmtId="0" fontId="6" fillId="0" borderId="5" xfId="0" applyFont="1" applyBorder="1" applyAlignment="1">
      <alignment horizontal="left" wrapText="1"/>
    </xf>
    <xf numFmtId="0" fontId="6" fillId="0" borderId="2" xfId="0" applyFont="1" applyBorder="1" applyAlignment="1">
      <alignment horizontal="left" wrapText="1"/>
    </xf>
    <xf numFmtId="0" fontId="5" fillId="0" borderId="4" xfId="0" applyFont="1" applyBorder="1" applyAlignment="1">
      <alignment horizontal="left" vertical="top" wrapText="1"/>
    </xf>
    <xf numFmtId="0" fontId="5" fillId="0" borderId="5" xfId="0" applyFont="1" applyBorder="1" applyAlignment="1">
      <alignment horizontal="left" vertical="top" wrapText="1"/>
    </xf>
    <xf numFmtId="0" fontId="5" fillId="0" borderId="2" xfId="0" applyFont="1" applyBorder="1" applyAlignment="1">
      <alignment horizontal="left" vertical="top" wrapText="1"/>
    </xf>
    <xf numFmtId="0" fontId="13" fillId="0" borderId="1" xfId="0" applyFont="1" applyBorder="1" applyAlignment="1">
      <alignment horizontal="center" vertical="center"/>
    </xf>
  </cellXfs>
  <cellStyles count="5">
    <cellStyle name="Hyperlink" xfId="3" builtinId="8"/>
    <cellStyle name="Normaallaad 2" xfId="1" xr:uid="{59141AF3-444C-4319-BFE5-F1A246A16318}"/>
    <cellStyle name="Normaallaad 3" xfId="2" xr:uid="{73CC97E0-C711-45BD-823B-3F4AF0B84736}"/>
    <cellStyle name="Normal" xfId="0" builtinId="0"/>
    <cellStyle name="Normal 2" xfId="4" xr:uid="{2A15D339-5FBB-47AD-AB23-4990FFDDD0C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microsoft.com/office/2006/relationships/xlExternalLinkPath/xlStartup" Target="Logsjo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mk.ee/Rainerdocs/M&#252;&#252;gid/EP%202006%20jun/EP%202006%20ju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ch"/>
      <sheetName val="Sheet1"/>
    </sheetNames>
    <sheetDataSet>
      <sheetData sheetId="0" refreshError="1"/>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a"/>
      <sheetName val="ks pab"/>
      <sheetName val="ku kyte"/>
      <sheetName val="vastuseks protestile"/>
      <sheetName val="ku pab"/>
      <sheetName val="Sheet1"/>
      <sheetName val="ku pab m"/>
      <sheetName val="ma kyte"/>
      <sheetName val="ma pab"/>
      <sheetName val="küte"/>
      <sheetName val="repo"/>
      <sheetName val="mahtude risttab"/>
      <sheetName val="mahtude baas"/>
      <sheetName val="kval"/>
      <sheetName val="pakkumine"/>
      <sheetName val="batc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23">
          <cell r="C223" t="str">
            <v>Kasepaberipuit</v>
          </cell>
        </row>
        <row r="224">
          <cell r="C224" t="str">
            <v>Kuuseküttepuit</v>
          </cell>
        </row>
        <row r="225">
          <cell r="C225" t="str">
            <v>Kuusepaberipuit</v>
          </cell>
        </row>
        <row r="226">
          <cell r="C226" t="str">
            <v>Küttepuit</v>
          </cell>
        </row>
        <row r="227">
          <cell r="C227" t="str">
            <v>Madalakvaliteediline kuusepaberipuit</v>
          </cell>
        </row>
        <row r="228">
          <cell r="C228" t="str">
            <v>Männiküttepuit</v>
          </cell>
        </row>
        <row r="229">
          <cell r="C229" t="str">
            <v>Männipaberipuit</v>
          </cell>
        </row>
      </sheetData>
      <sheetData sheetId="15" refreshError="1"/>
    </sheetDataSet>
  </externalBook>
</externalLink>
</file>

<file path=xl/theme/theme1.xml><?xml version="1.0" encoding="utf-8"?>
<a:theme xmlns:a="http://schemas.openxmlformats.org/drawingml/2006/main" name="Office'i kujundus">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edia.rmk.ee/files/Virnmaterjalide_standard_2023-11-10.pd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AE84A-C07E-48C1-A010-1080AA35354B}">
  <dimension ref="A1:L37"/>
  <sheetViews>
    <sheetView tabSelected="1" zoomScale="90" zoomScaleNormal="90" workbookViewId="0">
      <pane ySplit="1" topLeftCell="A2" activePane="bottomLeft" state="frozen"/>
      <selection pane="bottomLeft" activeCell="K21" sqref="K21"/>
    </sheetView>
  </sheetViews>
  <sheetFormatPr defaultColWidth="80" defaultRowHeight="13.2" x14ac:dyDescent="0.25"/>
  <cols>
    <col min="1" max="1" width="8.109375" style="4" customWidth="1"/>
    <col min="2" max="2" width="25.6640625" style="4" customWidth="1"/>
    <col min="3" max="3" width="12.44140625" style="4" customWidth="1"/>
    <col min="4" max="4" width="18.109375" style="4" customWidth="1"/>
    <col min="5" max="5" width="45.6640625" style="4" customWidth="1"/>
    <col min="6" max="6" width="16.6640625" style="4" customWidth="1"/>
    <col min="7" max="7" width="12.109375" style="4" customWidth="1"/>
    <col min="8" max="8" width="14.109375" style="31" customWidth="1"/>
    <col min="9" max="9" width="12.33203125" style="4" customWidth="1"/>
    <col min="10" max="10" width="16.6640625" style="4" customWidth="1"/>
    <col min="11" max="11" width="20.33203125" style="4" customWidth="1"/>
    <col min="12" max="12" width="14" style="4" customWidth="1"/>
    <col min="13" max="50" width="12.33203125" style="4" customWidth="1"/>
    <col min="51" max="16384" width="80" style="4"/>
  </cols>
  <sheetData>
    <row r="1" spans="1:12" x14ac:dyDescent="0.25">
      <c r="A1" s="1" t="s">
        <v>1</v>
      </c>
      <c r="B1" s="2"/>
      <c r="C1" s="2"/>
      <c r="D1" s="2"/>
      <c r="E1" s="2"/>
      <c r="F1" s="2"/>
      <c r="G1" s="2"/>
      <c r="H1" s="3"/>
      <c r="I1" s="2"/>
      <c r="J1" s="2"/>
      <c r="K1" s="2"/>
      <c r="L1" s="2"/>
    </row>
    <row r="2" spans="1:12" x14ac:dyDescent="0.25">
      <c r="A2" s="2"/>
      <c r="B2" s="2"/>
      <c r="C2" s="2"/>
      <c r="D2" s="2"/>
      <c r="E2" s="2"/>
      <c r="F2" s="2"/>
      <c r="G2" s="2"/>
      <c r="H2" s="3"/>
      <c r="I2" s="2"/>
      <c r="J2" s="2"/>
      <c r="K2" s="2"/>
      <c r="L2" s="2"/>
    </row>
    <row r="3" spans="1:12" x14ac:dyDescent="0.25">
      <c r="A3" s="5" t="s">
        <v>2</v>
      </c>
      <c r="B3" s="6"/>
      <c r="C3" s="7"/>
      <c r="D3" s="8"/>
      <c r="E3" s="8"/>
      <c r="F3" s="8"/>
      <c r="G3" s="8"/>
      <c r="H3" s="9"/>
      <c r="I3" s="8"/>
      <c r="J3" s="8"/>
      <c r="K3" s="8"/>
      <c r="L3" s="10"/>
    </row>
    <row r="4" spans="1:12" x14ac:dyDescent="0.25">
      <c r="A4" s="5" t="s">
        <v>3</v>
      </c>
      <c r="B4" s="6"/>
      <c r="C4" s="68"/>
      <c r="D4" s="69"/>
      <c r="E4" s="69"/>
      <c r="F4" s="69"/>
      <c r="G4" s="69"/>
      <c r="H4" s="69"/>
      <c r="I4" s="69"/>
      <c r="J4" s="69"/>
      <c r="K4" s="69"/>
      <c r="L4" s="70"/>
    </row>
    <row r="5" spans="1:12" x14ac:dyDescent="0.25">
      <c r="A5" s="5" t="s">
        <v>4</v>
      </c>
      <c r="B5" s="6"/>
      <c r="C5" s="71"/>
      <c r="D5" s="72"/>
      <c r="E5" s="72"/>
      <c r="F5" s="72"/>
      <c r="G5" s="72"/>
      <c r="H5" s="72"/>
      <c r="I5" s="72"/>
      <c r="J5" s="72"/>
      <c r="K5" s="72"/>
      <c r="L5" s="73"/>
    </row>
    <row r="6" spans="1:12" x14ac:dyDescent="0.25">
      <c r="A6" s="5" t="s">
        <v>5</v>
      </c>
      <c r="B6" s="6"/>
      <c r="C6" s="71"/>
      <c r="D6" s="72"/>
      <c r="E6" s="72"/>
      <c r="F6" s="72"/>
      <c r="G6" s="72"/>
      <c r="H6" s="72"/>
      <c r="I6" s="72"/>
      <c r="J6" s="72"/>
      <c r="K6" s="72"/>
      <c r="L6" s="73"/>
    </row>
    <row r="7" spans="1:12" x14ac:dyDescent="0.25">
      <c r="A7" s="11" t="s">
        <v>6</v>
      </c>
      <c r="B7" s="12"/>
      <c r="C7" s="71"/>
      <c r="D7" s="72"/>
      <c r="E7" s="72"/>
      <c r="F7" s="72"/>
      <c r="G7" s="72"/>
      <c r="H7" s="72"/>
      <c r="I7" s="72"/>
      <c r="J7" s="72"/>
      <c r="K7" s="72"/>
      <c r="L7" s="73"/>
    </row>
    <row r="8" spans="1:12" ht="42.6" customHeight="1" x14ac:dyDescent="0.25">
      <c r="A8" s="74" t="s">
        <v>7</v>
      </c>
      <c r="B8" s="75"/>
      <c r="C8" s="76"/>
      <c r="D8" s="77"/>
      <c r="E8" s="77"/>
      <c r="F8" s="77"/>
      <c r="G8" s="77"/>
      <c r="H8" s="77"/>
      <c r="I8" s="77"/>
      <c r="J8" s="77"/>
      <c r="K8" s="77"/>
      <c r="L8" s="78"/>
    </row>
    <row r="9" spans="1:12" ht="30" customHeight="1" x14ac:dyDescent="0.25">
      <c r="A9" s="79" t="s">
        <v>8</v>
      </c>
      <c r="B9" s="80"/>
      <c r="C9" s="80"/>
      <c r="D9" s="80"/>
      <c r="E9" s="80"/>
      <c r="F9" s="80"/>
      <c r="G9" s="80"/>
      <c r="H9" s="80"/>
      <c r="I9" s="80"/>
      <c r="J9" s="80"/>
      <c r="K9" s="80"/>
      <c r="L9" s="81"/>
    </row>
    <row r="10" spans="1:12" ht="66" x14ac:dyDescent="0.25">
      <c r="A10" s="13" t="s">
        <v>9</v>
      </c>
      <c r="B10" s="13" t="s">
        <v>10</v>
      </c>
      <c r="C10" s="13" t="s">
        <v>11</v>
      </c>
      <c r="D10" s="14" t="s">
        <v>12</v>
      </c>
      <c r="E10" s="13" t="s">
        <v>13</v>
      </c>
      <c r="F10" s="13" t="s">
        <v>14</v>
      </c>
      <c r="G10" s="13" t="s">
        <v>15</v>
      </c>
      <c r="H10" s="13" t="s">
        <v>16</v>
      </c>
      <c r="I10" s="13" t="s">
        <v>17</v>
      </c>
      <c r="J10" s="13" t="s">
        <v>18</v>
      </c>
      <c r="K10" s="13" t="s">
        <v>19</v>
      </c>
      <c r="L10" s="13" t="s">
        <v>20</v>
      </c>
    </row>
    <row r="11" spans="1:12" ht="26.4" x14ac:dyDescent="0.25">
      <c r="A11" s="44">
        <v>1</v>
      </c>
      <c r="B11" s="52" t="s">
        <v>58</v>
      </c>
      <c r="C11" s="19">
        <v>2888</v>
      </c>
      <c r="D11" s="19" t="s">
        <v>69</v>
      </c>
      <c r="E11" s="44" t="s">
        <v>61</v>
      </c>
      <c r="F11" s="46" t="s">
        <v>70</v>
      </c>
      <c r="G11" s="44" t="s">
        <v>60</v>
      </c>
      <c r="H11" s="44">
        <v>43</v>
      </c>
      <c r="I11" s="22"/>
      <c r="J11" s="44" t="s">
        <v>57</v>
      </c>
      <c r="K11" s="22"/>
      <c r="L11" s="22"/>
    </row>
    <row r="12" spans="1:12" ht="26.4" x14ac:dyDescent="0.25">
      <c r="A12" s="45"/>
      <c r="B12" s="53"/>
      <c r="C12" s="19">
        <v>3937</v>
      </c>
      <c r="D12" s="19" t="s">
        <v>68</v>
      </c>
      <c r="E12" s="45"/>
      <c r="F12" s="47"/>
      <c r="G12" s="45" t="s">
        <v>60</v>
      </c>
      <c r="H12" s="45"/>
      <c r="I12" s="22"/>
      <c r="J12" s="45"/>
      <c r="K12" s="22"/>
      <c r="L12" s="22"/>
    </row>
    <row r="13" spans="1:12" ht="26.4" x14ac:dyDescent="0.25">
      <c r="A13" s="44">
        <v>2</v>
      </c>
      <c r="B13" s="52" t="s">
        <v>59</v>
      </c>
      <c r="C13" s="19">
        <v>291</v>
      </c>
      <c r="D13" s="19" t="s">
        <v>69</v>
      </c>
      <c r="E13" s="44" t="s">
        <v>62</v>
      </c>
      <c r="F13" s="46" t="s">
        <v>70</v>
      </c>
      <c r="G13" s="44" t="s">
        <v>60</v>
      </c>
      <c r="H13" s="44">
        <v>43</v>
      </c>
      <c r="I13" s="22"/>
      <c r="J13" s="44" t="s">
        <v>57</v>
      </c>
      <c r="K13" s="22"/>
      <c r="L13" s="22"/>
    </row>
    <row r="14" spans="1:12" ht="26.4" x14ac:dyDescent="0.25">
      <c r="A14" s="45"/>
      <c r="B14" s="53"/>
      <c r="C14" s="19">
        <v>474</v>
      </c>
      <c r="D14" s="19" t="s">
        <v>68</v>
      </c>
      <c r="E14" s="45"/>
      <c r="F14" s="47"/>
      <c r="G14" s="45" t="s">
        <v>60</v>
      </c>
      <c r="H14" s="45"/>
      <c r="I14" s="22"/>
      <c r="J14" s="45"/>
      <c r="K14" s="22"/>
      <c r="L14" s="22"/>
    </row>
    <row r="15" spans="1:12" ht="26.4" x14ac:dyDescent="0.25">
      <c r="A15" s="44">
        <v>3</v>
      </c>
      <c r="B15" s="54" t="s">
        <v>64</v>
      </c>
      <c r="C15" s="21">
        <v>443</v>
      </c>
      <c r="D15" s="19" t="s">
        <v>69</v>
      </c>
      <c r="E15" s="44" t="s">
        <v>55</v>
      </c>
      <c r="F15" s="46" t="s">
        <v>70</v>
      </c>
      <c r="G15" s="44" t="s">
        <v>56</v>
      </c>
      <c r="H15" s="46">
        <v>50</v>
      </c>
      <c r="I15" s="22"/>
      <c r="J15" s="44" t="s">
        <v>57</v>
      </c>
      <c r="K15" s="22"/>
      <c r="L15" s="22"/>
    </row>
    <row r="16" spans="1:12" s="18" customFormat="1" ht="27" customHeight="1" x14ac:dyDescent="0.25">
      <c r="A16" s="45"/>
      <c r="B16" s="55"/>
      <c r="C16" s="21">
        <v>1770</v>
      </c>
      <c r="D16" s="19" t="s">
        <v>68</v>
      </c>
      <c r="E16" s="45"/>
      <c r="F16" s="47"/>
      <c r="G16" s="45" t="s">
        <v>56</v>
      </c>
      <c r="H16" s="47"/>
      <c r="I16" s="17"/>
      <c r="J16" s="45"/>
      <c r="K16" s="22"/>
      <c r="L16" s="17"/>
    </row>
    <row r="17" spans="1:12" s="18" customFormat="1" ht="27" customHeight="1" x14ac:dyDescent="0.25">
      <c r="A17" s="44">
        <v>4</v>
      </c>
      <c r="B17" s="52" t="s">
        <v>49</v>
      </c>
      <c r="C17" s="21">
        <v>4634</v>
      </c>
      <c r="D17" s="19" t="s">
        <v>69</v>
      </c>
      <c r="E17" s="44" t="s">
        <v>63</v>
      </c>
      <c r="F17" s="46" t="s">
        <v>70</v>
      </c>
      <c r="G17" s="50" t="s">
        <v>56</v>
      </c>
      <c r="H17" s="48">
        <v>57</v>
      </c>
      <c r="I17" s="17"/>
      <c r="J17" s="36"/>
      <c r="K17" s="22"/>
      <c r="L17" s="17"/>
    </row>
    <row r="18" spans="1:12" s="18" customFormat="1" ht="26.4" x14ac:dyDescent="0.25">
      <c r="A18" s="45"/>
      <c r="B18" s="53"/>
      <c r="C18" s="21">
        <v>2330</v>
      </c>
      <c r="D18" s="19" t="s">
        <v>68</v>
      </c>
      <c r="E18" s="45"/>
      <c r="F18" s="47"/>
      <c r="G18" s="51"/>
      <c r="H18" s="49"/>
      <c r="I18" s="17"/>
      <c r="J18" s="15" t="s">
        <v>57</v>
      </c>
      <c r="K18" s="22"/>
      <c r="L18" s="17"/>
    </row>
    <row r="19" spans="1:12" s="18" customFormat="1" ht="28.8" customHeight="1" x14ac:dyDescent="0.25">
      <c r="A19" s="44">
        <v>5</v>
      </c>
      <c r="B19" s="52" t="s">
        <v>51</v>
      </c>
      <c r="C19" s="21">
        <v>456</v>
      </c>
      <c r="D19" s="19" t="s">
        <v>69</v>
      </c>
      <c r="E19" s="44" t="s">
        <v>53</v>
      </c>
      <c r="F19" s="46" t="s">
        <v>70</v>
      </c>
      <c r="G19" s="50" t="s">
        <v>56</v>
      </c>
      <c r="H19" s="42">
        <v>55</v>
      </c>
      <c r="I19" s="17"/>
      <c r="J19" s="44" t="s">
        <v>57</v>
      </c>
      <c r="K19" s="22"/>
      <c r="L19" s="17"/>
    </row>
    <row r="20" spans="1:12" s="18" customFormat="1" ht="24" customHeight="1" x14ac:dyDescent="0.25">
      <c r="A20" s="45"/>
      <c r="B20" s="53"/>
      <c r="C20" s="21">
        <v>1463</v>
      </c>
      <c r="D20" s="19" t="s">
        <v>68</v>
      </c>
      <c r="E20" s="45"/>
      <c r="F20" s="47"/>
      <c r="G20" s="51"/>
      <c r="H20" s="43"/>
      <c r="I20" s="17"/>
      <c r="J20" s="45"/>
      <c r="K20" s="22"/>
      <c r="L20" s="17"/>
    </row>
    <row r="21" spans="1:12" s="18" customFormat="1" ht="24" customHeight="1" x14ac:dyDescent="0.25">
      <c r="A21" s="44">
        <v>6</v>
      </c>
      <c r="B21" s="52" t="s">
        <v>52</v>
      </c>
      <c r="C21" s="21">
        <v>1974</v>
      </c>
      <c r="D21" s="19" t="s">
        <v>69</v>
      </c>
      <c r="E21" s="44" t="s">
        <v>54</v>
      </c>
      <c r="F21" s="46" t="s">
        <v>70</v>
      </c>
      <c r="G21" s="50" t="s">
        <v>56</v>
      </c>
      <c r="H21" s="42">
        <v>55</v>
      </c>
      <c r="I21" s="17"/>
      <c r="J21" s="44" t="s">
        <v>57</v>
      </c>
      <c r="K21" s="22"/>
      <c r="L21" s="17"/>
    </row>
    <row r="22" spans="1:12" s="18" customFormat="1" ht="24" customHeight="1" x14ac:dyDescent="0.25">
      <c r="A22" s="45"/>
      <c r="B22" s="53"/>
      <c r="C22" s="21">
        <v>1639</v>
      </c>
      <c r="D22" s="19" t="s">
        <v>68</v>
      </c>
      <c r="E22" s="45"/>
      <c r="F22" s="47"/>
      <c r="G22" s="51"/>
      <c r="H22" s="43"/>
      <c r="I22" s="17"/>
      <c r="J22" s="45"/>
      <c r="K22" s="22"/>
      <c r="L22" s="17"/>
    </row>
    <row r="23" spans="1:12" s="18" customFormat="1" ht="24" customHeight="1" x14ac:dyDescent="0.25">
      <c r="A23" s="34">
        <v>7</v>
      </c>
      <c r="B23" s="33" t="s">
        <v>49</v>
      </c>
      <c r="C23" s="21">
        <v>71635</v>
      </c>
      <c r="D23" s="19" t="s">
        <v>66</v>
      </c>
      <c r="E23" s="34" t="s">
        <v>73</v>
      </c>
      <c r="F23" s="37" t="s">
        <v>70</v>
      </c>
      <c r="G23" s="35" t="s">
        <v>56</v>
      </c>
      <c r="H23" s="16">
        <v>58</v>
      </c>
      <c r="I23" s="17"/>
      <c r="J23" s="15" t="s">
        <v>57</v>
      </c>
      <c r="K23" s="22"/>
      <c r="L23" s="17"/>
    </row>
    <row r="24" spans="1:12" s="18" customFormat="1" ht="24" customHeight="1" x14ac:dyDescent="0.25">
      <c r="A24" s="34">
        <v>8</v>
      </c>
      <c r="B24" s="33" t="s">
        <v>71</v>
      </c>
      <c r="C24" s="21">
        <v>8898</v>
      </c>
      <c r="D24" s="19" t="s">
        <v>74</v>
      </c>
      <c r="E24" s="34" t="s">
        <v>75</v>
      </c>
      <c r="F24" s="37" t="s">
        <v>70</v>
      </c>
      <c r="G24" s="23" t="s">
        <v>77</v>
      </c>
      <c r="H24" s="16">
        <v>48</v>
      </c>
      <c r="I24" s="17"/>
      <c r="J24" s="15" t="s">
        <v>57</v>
      </c>
      <c r="K24" s="22"/>
      <c r="L24" s="17"/>
    </row>
    <row r="25" spans="1:12" s="18" customFormat="1" ht="24" customHeight="1" x14ac:dyDescent="0.25">
      <c r="A25" s="34">
        <v>9</v>
      </c>
      <c r="B25" s="33" t="s">
        <v>72</v>
      </c>
      <c r="C25" s="19">
        <v>3175</v>
      </c>
      <c r="D25" s="19" t="s">
        <v>74</v>
      </c>
      <c r="E25" s="19" t="s">
        <v>76</v>
      </c>
      <c r="F25" s="37" t="s">
        <v>70</v>
      </c>
      <c r="G25" s="23" t="s">
        <v>77</v>
      </c>
      <c r="H25" s="19">
        <v>48</v>
      </c>
      <c r="I25" s="13"/>
      <c r="J25" s="19" t="s">
        <v>57</v>
      </c>
      <c r="K25" s="13"/>
      <c r="L25" s="16"/>
    </row>
    <row r="26" spans="1:12" s="18" customFormat="1" ht="10.8" customHeight="1" x14ac:dyDescent="0.25">
      <c r="A26" s="24"/>
      <c r="B26" s="25"/>
      <c r="C26" s="24"/>
      <c r="D26" s="24"/>
      <c r="F26" s="24"/>
      <c r="G26" s="26"/>
      <c r="H26" s="24"/>
      <c r="I26" s="27"/>
      <c r="J26" s="24"/>
      <c r="K26" s="27"/>
      <c r="L26" s="28"/>
    </row>
    <row r="27" spans="1:12" s="20" customFormat="1" ht="10.8" customHeight="1" x14ac:dyDescent="0.3">
      <c r="A27" s="62" t="s">
        <v>21</v>
      </c>
      <c r="B27" s="63"/>
      <c r="C27" s="63"/>
      <c r="D27" s="63"/>
      <c r="E27" s="63"/>
      <c r="F27" s="63"/>
      <c r="G27" s="63"/>
      <c r="H27" s="63"/>
      <c r="I27" s="63"/>
      <c r="J27" s="63"/>
      <c r="K27" s="63"/>
      <c r="L27" s="64"/>
    </row>
    <row r="28" spans="1:12" ht="37.200000000000003" customHeight="1" x14ac:dyDescent="0.25">
      <c r="A28" s="65" t="s">
        <v>24</v>
      </c>
      <c r="B28" s="66"/>
      <c r="C28" s="66"/>
      <c r="D28" s="66"/>
      <c r="E28" s="66"/>
      <c r="F28" s="66"/>
      <c r="G28" s="66"/>
      <c r="H28" s="66"/>
      <c r="I28" s="66"/>
      <c r="J28" s="66"/>
      <c r="K28" s="66"/>
      <c r="L28" s="67"/>
    </row>
    <row r="29" spans="1:12" x14ac:dyDescent="0.25">
      <c r="A29" s="59" t="s">
        <v>117</v>
      </c>
      <c r="B29" s="60"/>
      <c r="C29" s="60"/>
      <c r="D29" s="60"/>
      <c r="E29" s="60"/>
      <c r="F29" s="60"/>
      <c r="G29" s="60"/>
      <c r="H29" s="60"/>
      <c r="I29" s="60"/>
      <c r="J29" s="60"/>
      <c r="K29" s="60"/>
      <c r="L29" s="61"/>
    </row>
    <row r="30" spans="1:12" ht="40.200000000000003" customHeight="1" x14ac:dyDescent="0.25">
      <c r="A30" s="56" t="s">
        <v>67</v>
      </c>
      <c r="B30" s="57"/>
      <c r="C30" s="57"/>
      <c r="D30" s="57"/>
      <c r="E30" s="57"/>
      <c r="F30" s="57"/>
      <c r="G30" s="57"/>
      <c r="H30" s="57"/>
      <c r="I30" s="57"/>
      <c r="J30" s="57"/>
      <c r="K30" s="57"/>
      <c r="L30" s="58"/>
    </row>
    <row r="31" spans="1:12" ht="25.2" customHeight="1" x14ac:dyDescent="0.25">
      <c r="A31" s="1" t="s">
        <v>22</v>
      </c>
      <c r="B31" s="2"/>
      <c r="C31" s="2"/>
      <c r="D31" s="2"/>
      <c r="E31" s="2"/>
      <c r="F31" s="2"/>
      <c r="G31" s="2"/>
      <c r="H31" s="3"/>
      <c r="I31" s="2"/>
      <c r="J31" s="2"/>
      <c r="K31" s="2"/>
      <c r="L31" s="2"/>
    </row>
    <row r="32" spans="1:12" x14ac:dyDescent="0.25">
      <c r="A32" s="2"/>
      <c r="B32" s="2"/>
      <c r="C32" s="2"/>
      <c r="D32" s="2"/>
      <c r="E32" s="2"/>
      <c r="F32" s="2"/>
      <c r="G32" s="2"/>
      <c r="H32" s="3"/>
      <c r="I32" s="2"/>
      <c r="J32" s="2"/>
      <c r="K32" s="2"/>
      <c r="L32" s="2"/>
    </row>
    <row r="33" spans="1:12" x14ac:dyDescent="0.25">
      <c r="A33" s="29" t="s">
        <v>116</v>
      </c>
      <c r="B33" s="2"/>
      <c r="C33" s="2"/>
      <c r="D33" s="2"/>
      <c r="E33" s="2"/>
      <c r="F33" s="2"/>
      <c r="G33" s="2"/>
      <c r="H33" s="3"/>
      <c r="I33" s="2"/>
      <c r="J33" s="2"/>
      <c r="K33" s="2"/>
      <c r="L33" s="2"/>
    </row>
    <row r="35" spans="1:12" x14ac:dyDescent="0.25">
      <c r="C35" s="30"/>
      <c r="D35" s="30"/>
      <c r="E35" s="30"/>
      <c r="G35" s="30"/>
    </row>
    <row r="36" spans="1:12" ht="14.4" x14ac:dyDescent="0.3">
      <c r="A36" s="32" t="s">
        <v>65</v>
      </c>
      <c r="H36" s="4"/>
    </row>
    <row r="37" spans="1:12" x14ac:dyDescent="0.25">
      <c r="H37" s="4"/>
    </row>
  </sheetData>
  <mergeCells count="52">
    <mergeCell ref="A21:A22"/>
    <mergeCell ref="F19:F20"/>
    <mergeCell ref="F21:F22"/>
    <mergeCell ref="J19:J20"/>
    <mergeCell ref="J21:J22"/>
    <mergeCell ref="G19:G20"/>
    <mergeCell ref="G21:G22"/>
    <mergeCell ref="A30:L30"/>
    <mergeCell ref="A29:L29"/>
    <mergeCell ref="A27:L27"/>
    <mergeCell ref="A28:L28"/>
    <mergeCell ref="C4:L4"/>
    <mergeCell ref="C5:L5"/>
    <mergeCell ref="C6:L6"/>
    <mergeCell ref="C7:L7"/>
    <mergeCell ref="A8:B8"/>
    <mergeCell ref="C8:L8"/>
    <mergeCell ref="A9:L9"/>
    <mergeCell ref="B19:B20"/>
    <mergeCell ref="A19:A20"/>
    <mergeCell ref="B21:B22"/>
    <mergeCell ref="E19:E20"/>
    <mergeCell ref="E21:E22"/>
    <mergeCell ref="J11:J12"/>
    <mergeCell ref="J13:J14"/>
    <mergeCell ref="J15:J16"/>
    <mergeCell ref="F11:F12"/>
    <mergeCell ref="A13:A14"/>
    <mergeCell ref="B13:B14"/>
    <mergeCell ref="E13:E14"/>
    <mergeCell ref="F13:F14"/>
    <mergeCell ref="B15:B16"/>
    <mergeCell ref="A15:A16"/>
    <mergeCell ref="A11:A12"/>
    <mergeCell ref="B11:B12"/>
    <mergeCell ref="E11:E12"/>
    <mergeCell ref="B17:B18"/>
    <mergeCell ref="A17:A18"/>
    <mergeCell ref="E17:E18"/>
    <mergeCell ref="F17:F18"/>
    <mergeCell ref="F15:F16"/>
    <mergeCell ref="E15:E16"/>
    <mergeCell ref="H21:H22"/>
    <mergeCell ref="G11:G12"/>
    <mergeCell ref="G13:G14"/>
    <mergeCell ref="G15:G16"/>
    <mergeCell ref="G17:G18"/>
    <mergeCell ref="H19:H20"/>
    <mergeCell ref="H11:H12"/>
    <mergeCell ref="H13:H14"/>
    <mergeCell ref="H15:H16"/>
    <mergeCell ref="H17:H18"/>
  </mergeCells>
  <phoneticPr fontId="1" type="noConversion"/>
  <hyperlinks>
    <hyperlink ref="A36" r:id="rId1" xr:uid="{47E6AF0E-2A1C-4DBA-9EF5-2FE2FB748E43}"/>
    <hyperlink ref="B19" location="asukoht!A110" display="Kuusepaberipuit" xr:uid="{61F6D5BD-41FE-4F70-A9A8-112B18FC57C6}"/>
    <hyperlink ref="B21" location="asukoht!A166" display="Männipaberipuit" xr:uid="{12DD380A-3F49-4649-B344-40F5FC604950}"/>
    <hyperlink ref="B11" location="asukoht!A50" display="Küttepuit" xr:uid="{E705CC5A-98DA-4629-9190-73C01DD25B65}"/>
    <hyperlink ref="B15" location="asukoht!A3" display="Haavapaberipuit" xr:uid="{A3F6B983-4E17-43AA-A963-3C21C974F9E0}"/>
    <hyperlink ref="B17" location="asukoht!A15" display="Kasepaberipuit" xr:uid="{3D953A6C-A41D-4124-88A0-E8026C056225}"/>
    <hyperlink ref="B19:B20" location="asukoht!A23" display="Kuusepaberipuit" xr:uid="{3868D649-6C11-419F-9809-7CF28E96EFAF}"/>
    <hyperlink ref="B21:B22" location="asukoht!A28" display="Männipaberipuit" xr:uid="{5BDCBB50-584A-4C21-A838-B61A3FE388C5}"/>
    <hyperlink ref="B13" location="asukoht!A50" display="Küttepuit" xr:uid="{4914A643-A995-41D9-8890-21DCC48267C5}"/>
    <hyperlink ref="B11:B12" location="asukoht!A5" display="Küttepuit" xr:uid="{F3B4E028-1746-4FC8-94AE-B4C7263BA343}"/>
    <hyperlink ref="B13:B14" location="asukoht!A10" display="Okaspuuküttepuit" xr:uid="{ACE159D7-932E-4F0C-8B3B-A555A2F89137}"/>
    <hyperlink ref="B15:B16" location="asukoht!A13" display="Haavapaberipuit" xr:uid="{C41ACC1A-59DB-46A6-8DD7-6D5163577E85}"/>
    <hyperlink ref="B17:B18" location="asukoht!A40" display="Kasepaberipuit" xr:uid="{D1E1536B-A398-4FD5-91FF-DDC1C834A0C1}"/>
    <hyperlink ref="B24" location="asukoht!A83" display="Tehnoloogiline LP" xr:uid="{46828390-67BB-4B5B-BBC5-1EA84C86472E}"/>
    <hyperlink ref="B25" location="asukoht!A91" display="Tehnoloogiline OP" xr:uid="{A9571D2E-A1F4-48B2-9DF3-2E5E6E59D48D}"/>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791F2-212D-4A5F-8BE2-E9548839E2A7}">
  <dimension ref="A1:D94"/>
  <sheetViews>
    <sheetView workbookViewId="0">
      <pane xSplit="1" ySplit="1" topLeftCell="B2" activePane="bottomRight" state="frozen"/>
      <selection pane="topRight" activeCell="B1" sqref="B1"/>
      <selection pane="bottomLeft" activeCell="A2" sqref="A2"/>
      <selection pane="bottomRight" activeCell="A88" sqref="A88:A94"/>
    </sheetView>
  </sheetViews>
  <sheetFormatPr defaultRowHeight="13.8" x14ac:dyDescent="0.3"/>
  <cols>
    <col min="1" max="1" width="16" style="39" bestFit="1" customWidth="1"/>
    <col min="2" max="2" width="21.6640625" style="39" bestFit="1" customWidth="1"/>
    <col min="3" max="3" width="11.88671875" style="39" customWidth="1"/>
    <col min="4" max="4" width="11.44140625" style="39" bestFit="1" customWidth="1"/>
    <col min="5" max="16384" width="8.88671875" style="39"/>
  </cols>
  <sheetData>
    <row r="1" spans="1:4" x14ac:dyDescent="0.3">
      <c r="A1" s="38" t="s">
        <v>9</v>
      </c>
      <c r="B1" s="38" t="s">
        <v>10</v>
      </c>
      <c r="C1" s="38" t="s">
        <v>0</v>
      </c>
      <c r="D1" s="38" t="s">
        <v>23</v>
      </c>
    </row>
    <row r="2" spans="1:4" x14ac:dyDescent="0.3">
      <c r="A2" s="82">
        <v>1</v>
      </c>
      <c r="B2" s="40" t="s">
        <v>58</v>
      </c>
      <c r="C2" s="40" t="s">
        <v>28</v>
      </c>
      <c r="D2" s="40">
        <v>2980</v>
      </c>
    </row>
    <row r="3" spans="1:4" x14ac:dyDescent="0.3">
      <c r="A3" s="82"/>
      <c r="B3" s="40" t="s">
        <v>58</v>
      </c>
      <c r="C3" s="40" t="s">
        <v>32</v>
      </c>
      <c r="D3" s="40">
        <v>957</v>
      </c>
    </row>
    <row r="4" spans="1:4" x14ac:dyDescent="0.3">
      <c r="A4" s="82"/>
      <c r="B4" s="40" t="s">
        <v>58</v>
      </c>
      <c r="C4" s="40" t="s">
        <v>34</v>
      </c>
      <c r="D4" s="40">
        <v>2572</v>
      </c>
    </row>
    <row r="5" spans="1:4" x14ac:dyDescent="0.3">
      <c r="A5" s="82"/>
      <c r="B5" s="40" t="s">
        <v>58</v>
      </c>
      <c r="C5" s="40" t="s">
        <v>47</v>
      </c>
      <c r="D5" s="40">
        <v>316</v>
      </c>
    </row>
    <row r="6" spans="1:4" x14ac:dyDescent="0.3">
      <c r="A6" s="82"/>
      <c r="B6" s="41" t="s">
        <v>50</v>
      </c>
      <c r="C6" s="41"/>
      <c r="D6" s="41">
        <v>6825</v>
      </c>
    </row>
    <row r="7" spans="1:4" x14ac:dyDescent="0.3">
      <c r="A7" s="82">
        <v>2</v>
      </c>
      <c r="B7" s="40" t="s">
        <v>59</v>
      </c>
      <c r="C7" s="40" t="s">
        <v>28</v>
      </c>
      <c r="D7" s="40">
        <v>371</v>
      </c>
    </row>
    <row r="8" spans="1:4" x14ac:dyDescent="0.3">
      <c r="A8" s="82"/>
      <c r="B8" s="40" t="s">
        <v>59</v>
      </c>
      <c r="C8" s="40" t="s">
        <v>32</v>
      </c>
      <c r="D8" s="40">
        <v>103</v>
      </c>
    </row>
    <row r="9" spans="1:4" x14ac:dyDescent="0.3">
      <c r="A9" s="82"/>
      <c r="B9" s="40" t="s">
        <v>59</v>
      </c>
      <c r="C9" s="40" t="s">
        <v>34</v>
      </c>
      <c r="D9" s="40">
        <v>264</v>
      </c>
    </row>
    <row r="10" spans="1:4" x14ac:dyDescent="0.3">
      <c r="A10" s="82"/>
      <c r="B10" s="40" t="s">
        <v>59</v>
      </c>
      <c r="C10" s="40" t="s">
        <v>47</v>
      </c>
      <c r="D10" s="40">
        <v>27</v>
      </c>
    </row>
    <row r="11" spans="1:4" x14ac:dyDescent="0.3">
      <c r="A11" s="82"/>
      <c r="B11" s="41" t="s">
        <v>50</v>
      </c>
      <c r="C11" s="41"/>
      <c r="D11" s="41">
        <v>765</v>
      </c>
    </row>
    <row r="12" spans="1:4" x14ac:dyDescent="0.3">
      <c r="A12" s="82">
        <v>3</v>
      </c>
      <c r="B12" s="40" t="s">
        <v>64</v>
      </c>
      <c r="C12" s="40" t="s">
        <v>28</v>
      </c>
      <c r="D12" s="40">
        <v>610</v>
      </c>
    </row>
    <row r="13" spans="1:4" x14ac:dyDescent="0.3">
      <c r="A13" s="82"/>
      <c r="B13" s="40" t="s">
        <v>64</v>
      </c>
      <c r="C13" s="40" t="s">
        <v>32</v>
      </c>
      <c r="D13" s="40">
        <v>1160</v>
      </c>
    </row>
    <row r="14" spans="1:4" x14ac:dyDescent="0.3">
      <c r="A14" s="82"/>
      <c r="B14" s="40" t="s">
        <v>64</v>
      </c>
      <c r="C14" s="40" t="s">
        <v>34</v>
      </c>
      <c r="D14" s="40">
        <v>443</v>
      </c>
    </row>
    <row r="15" spans="1:4" x14ac:dyDescent="0.3">
      <c r="A15" s="82"/>
      <c r="B15" s="41" t="s">
        <v>50</v>
      </c>
      <c r="C15" s="41"/>
      <c r="D15" s="41">
        <v>2213</v>
      </c>
    </row>
    <row r="16" spans="1:4" x14ac:dyDescent="0.3">
      <c r="A16" s="82">
        <v>4</v>
      </c>
      <c r="B16" s="40" t="s">
        <v>49</v>
      </c>
      <c r="C16" s="40" t="s">
        <v>28</v>
      </c>
      <c r="D16" s="40">
        <v>1836</v>
      </c>
    </row>
    <row r="17" spans="1:4" x14ac:dyDescent="0.3">
      <c r="A17" s="82"/>
      <c r="B17" s="40" t="s">
        <v>49</v>
      </c>
      <c r="C17" s="40" t="s">
        <v>32</v>
      </c>
      <c r="D17" s="40">
        <v>494</v>
      </c>
    </row>
    <row r="18" spans="1:4" x14ac:dyDescent="0.3">
      <c r="A18" s="82"/>
      <c r="B18" s="40" t="s">
        <v>49</v>
      </c>
      <c r="C18" s="40" t="s">
        <v>34</v>
      </c>
      <c r="D18" s="40">
        <v>3586</v>
      </c>
    </row>
    <row r="19" spans="1:4" x14ac:dyDescent="0.3">
      <c r="A19" s="82"/>
      <c r="B19" s="40" t="s">
        <v>49</v>
      </c>
      <c r="C19" s="40" t="s">
        <v>47</v>
      </c>
      <c r="D19" s="40">
        <v>1048</v>
      </c>
    </row>
    <row r="20" spans="1:4" x14ac:dyDescent="0.3">
      <c r="A20" s="82"/>
      <c r="B20" s="41" t="s">
        <v>50</v>
      </c>
      <c r="C20" s="41"/>
      <c r="D20" s="41">
        <f>SUM(D16:D19)</f>
        <v>6964</v>
      </c>
    </row>
    <row r="21" spans="1:4" x14ac:dyDescent="0.3">
      <c r="A21" s="82">
        <v>5</v>
      </c>
      <c r="B21" s="40" t="s">
        <v>51</v>
      </c>
      <c r="C21" s="40" t="s">
        <v>28</v>
      </c>
      <c r="D21" s="40">
        <v>1093</v>
      </c>
    </row>
    <row r="22" spans="1:4" x14ac:dyDescent="0.3">
      <c r="A22" s="82"/>
      <c r="B22" s="40" t="s">
        <v>51</v>
      </c>
      <c r="C22" s="40" t="s">
        <v>32</v>
      </c>
      <c r="D22" s="40">
        <v>370</v>
      </c>
    </row>
    <row r="23" spans="1:4" x14ac:dyDescent="0.3">
      <c r="A23" s="82"/>
      <c r="B23" s="40" t="s">
        <v>51</v>
      </c>
      <c r="C23" s="40" t="s">
        <v>34</v>
      </c>
      <c r="D23" s="40">
        <v>374</v>
      </c>
    </row>
    <row r="24" spans="1:4" x14ac:dyDescent="0.3">
      <c r="A24" s="82"/>
      <c r="B24" s="40" t="s">
        <v>51</v>
      </c>
      <c r="C24" s="40" t="s">
        <v>47</v>
      </c>
      <c r="D24" s="40">
        <v>82</v>
      </c>
    </row>
    <row r="25" spans="1:4" x14ac:dyDescent="0.3">
      <c r="A25" s="82"/>
      <c r="B25" s="41" t="s">
        <v>50</v>
      </c>
      <c r="C25" s="41"/>
      <c r="D25" s="41">
        <v>1919</v>
      </c>
    </row>
    <row r="26" spans="1:4" x14ac:dyDescent="0.3">
      <c r="A26" s="82">
        <v>6</v>
      </c>
      <c r="B26" s="40" t="s">
        <v>52</v>
      </c>
      <c r="C26" s="40" t="s">
        <v>28</v>
      </c>
      <c r="D26" s="40">
        <v>1610</v>
      </c>
    </row>
    <row r="27" spans="1:4" x14ac:dyDescent="0.3">
      <c r="A27" s="82"/>
      <c r="B27" s="40" t="s">
        <v>52</v>
      </c>
      <c r="C27" s="40" t="s">
        <v>32</v>
      </c>
      <c r="D27" s="40">
        <v>29</v>
      </c>
    </row>
    <row r="28" spans="1:4" x14ac:dyDescent="0.3">
      <c r="A28" s="82"/>
      <c r="B28" s="40" t="s">
        <v>52</v>
      </c>
      <c r="C28" s="40" t="s">
        <v>34</v>
      </c>
      <c r="D28" s="40">
        <v>1933</v>
      </c>
    </row>
    <row r="29" spans="1:4" x14ac:dyDescent="0.3">
      <c r="A29" s="82"/>
      <c r="B29" s="40" t="s">
        <v>52</v>
      </c>
      <c r="C29" s="40" t="s">
        <v>47</v>
      </c>
      <c r="D29" s="40">
        <v>41</v>
      </c>
    </row>
    <row r="30" spans="1:4" x14ac:dyDescent="0.3">
      <c r="A30" s="82"/>
      <c r="B30" s="41" t="s">
        <v>50</v>
      </c>
      <c r="C30" s="41"/>
      <c r="D30" s="41">
        <v>3613</v>
      </c>
    </row>
    <row r="31" spans="1:4" x14ac:dyDescent="0.3">
      <c r="A31" s="82">
        <v>7</v>
      </c>
      <c r="B31" s="40" t="s">
        <v>49</v>
      </c>
      <c r="C31" s="40" t="s">
        <v>78</v>
      </c>
      <c r="D31" s="40">
        <v>1179</v>
      </c>
    </row>
    <row r="32" spans="1:4" x14ac:dyDescent="0.3">
      <c r="A32" s="82"/>
      <c r="B32" s="40" t="s">
        <v>49</v>
      </c>
      <c r="C32" s="40" t="s">
        <v>79</v>
      </c>
      <c r="D32" s="40">
        <v>2371</v>
      </c>
    </row>
    <row r="33" spans="1:4" x14ac:dyDescent="0.3">
      <c r="A33" s="82"/>
      <c r="B33" s="40" t="s">
        <v>49</v>
      </c>
      <c r="C33" s="40" t="s">
        <v>25</v>
      </c>
      <c r="D33" s="40">
        <v>872</v>
      </c>
    </row>
    <row r="34" spans="1:4" x14ac:dyDescent="0.3">
      <c r="A34" s="82"/>
      <c r="B34" s="40" t="s">
        <v>49</v>
      </c>
      <c r="C34" s="40" t="s">
        <v>80</v>
      </c>
      <c r="D34" s="40">
        <v>905</v>
      </c>
    </row>
    <row r="35" spans="1:4" x14ac:dyDescent="0.3">
      <c r="A35" s="82"/>
      <c r="B35" s="40" t="s">
        <v>49</v>
      </c>
      <c r="C35" s="40" t="s">
        <v>81</v>
      </c>
      <c r="D35" s="40">
        <v>797</v>
      </c>
    </row>
    <row r="36" spans="1:4" x14ac:dyDescent="0.3">
      <c r="A36" s="82"/>
      <c r="B36" s="40" t="s">
        <v>49</v>
      </c>
      <c r="C36" s="40" t="s">
        <v>26</v>
      </c>
      <c r="D36" s="40">
        <v>1581</v>
      </c>
    </row>
    <row r="37" spans="1:4" x14ac:dyDescent="0.3">
      <c r="A37" s="82"/>
      <c r="B37" s="40" t="s">
        <v>49</v>
      </c>
      <c r="C37" s="40" t="s">
        <v>82</v>
      </c>
      <c r="D37" s="40">
        <v>916</v>
      </c>
    </row>
    <row r="38" spans="1:4" x14ac:dyDescent="0.3">
      <c r="A38" s="82"/>
      <c r="B38" s="40" t="s">
        <v>49</v>
      </c>
      <c r="C38" s="40" t="s">
        <v>27</v>
      </c>
      <c r="D38" s="40">
        <v>2884</v>
      </c>
    </row>
    <row r="39" spans="1:4" x14ac:dyDescent="0.3">
      <c r="A39" s="82"/>
      <c r="B39" s="40" t="s">
        <v>49</v>
      </c>
      <c r="C39" s="40" t="s">
        <v>83</v>
      </c>
      <c r="D39" s="40">
        <v>1087</v>
      </c>
    </row>
    <row r="40" spans="1:4" x14ac:dyDescent="0.3">
      <c r="A40" s="82"/>
      <c r="B40" s="40" t="s">
        <v>49</v>
      </c>
      <c r="C40" s="40" t="s">
        <v>35</v>
      </c>
      <c r="D40" s="40">
        <v>2420</v>
      </c>
    </row>
    <row r="41" spans="1:4" x14ac:dyDescent="0.3">
      <c r="A41" s="82"/>
      <c r="B41" s="40" t="s">
        <v>49</v>
      </c>
      <c r="C41" s="40" t="s">
        <v>48</v>
      </c>
      <c r="D41" s="40">
        <v>4325</v>
      </c>
    </row>
    <row r="42" spans="1:4" x14ac:dyDescent="0.3">
      <c r="A42" s="82"/>
      <c r="B42" s="40" t="s">
        <v>49</v>
      </c>
      <c r="C42" s="40" t="s">
        <v>29</v>
      </c>
      <c r="D42" s="40">
        <v>1244</v>
      </c>
    </row>
    <row r="43" spans="1:4" x14ac:dyDescent="0.3">
      <c r="A43" s="82"/>
      <c r="B43" s="40" t="s">
        <v>49</v>
      </c>
      <c r="C43" s="40" t="s">
        <v>84</v>
      </c>
      <c r="D43" s="40">
        <v>1237</v>
      </c>
    </row>
    <row r="44" spans="1:4" x14ac:dyDescent="0.3">
      <c r="A44" s="82"/>
      <c r="B44" s="40" t="s">
        <v>49</v>
      </c>
      <c r="C44" s="40" t="s">
        <v>33</v>
      </c>
      <c r="D44" s="40">
        <v>3233</v>
      </c>
    </row>
    <row r="45" spans="1:4" x14ac:dyDescent="0.3">
      <c r="A45" s="82"/>
      <c r="B45" s="40" t="s">
        <v>49</v>
      </c>
      <c r="C45" s="40" t="s">
        <v>85</v>
      </c>
      <c r="D45" s="40">
        <v>137</v>
      </c>
    </row>
    <row r="46" spans="1:4" x14ac:dyDescent="0.3">
      <c r="A46" s="82"/>
      <c r="B46" s="40" t="s">
        <v>49</v>
      </c>
      <c r="C46" s="40" t="s">
        <v>30</v>
      </c>
      <c r="D46" s="40">
        <v>5160</v>
      </c>
    </row>
    <row r="47" spans="1:4" x14ac:dyDescent="0.3">
      <c r="A47" s="82"/>
      <c r="B47" s="40" t="s">
        <v>49</v>
      </c>
      <c r="C47" s="40" t="s">
        <v>31</v>
      </c>
      <c r="D47" s="40">
        <v>794</v>
      </c>
    </row>
    <row r="48" spans="1:4" x14ac:dyDescent="0.3">
      <c r="A48" s="82"/>
      <c r="B48" s="40" t="s">
        <v>49</v>
      </c>
      <c r="C48" s="40" t="s">
        <v>86</v>
      </c>
      <c r="D48" s="40">
        <v>424</v>
      </c>
    </row>
    <row r="49" spans="1:4" x14ac:dyDescent="0.3">
      <c r="A49" s="82"/>
      <c r="B49" s="40" t="s">
        <v>49</v>
      </c>
      <c r="C49" s="40" t="s">
        <v>36</v>
      </c>
      <c r="D49" s="40">
        <v>1058</v>
      </c>
    </row>
    <row r="50" spans="1:4" x14ac:dyDescent="0.3">
      <c r="A50" s="82"/>
      <c r="B50" s="40" t="s">
        <v>49</v>
      </c>
      <c r="C50" s="40" t="s">
        <v>87</v>
      </c>
      <c r="D50" s="40">
        <v>2162</v>
      </c>
    </row>
    <row r="51" spans="1:4" x14ac:dyDescent="0.3">
      <c r="A51" s="82"/>
      <c r="B51" s="40" t="s">
        <v>49</v>
      </c>
      <c r="C51" s="40" t="s">
        <v>37</v>
      </c>
      <c r="D51" s="40">
        <v>1025</v>
      </c>
    </row>
    <row r="52" spans="1:4" x14ac:dyDescent="0.3">
      <c r="A52" s="82"/>
      <c r="B52" s="40" t="s">
        <v>49</v>
      </c>
      <c r="C52" s="40" t="s">
        <v>38</v>
      </c>
      <c r="D52" s="40">
        <v>1427</v>
      </c>
    </row>
    <row r="53" spans="1:4" x14ac:dyDescent="0.3">
      <c r="A53" s="82"/>
      <c r="B53" s="40" t="s">
        <v>49</v>
      </c>
      <c r="C53" s="40" t="s">
        <v>88</v>
      </c>
      <c r="D53" s="40">
        <v>1795</v>
      </c>
    </row>
    <row r="54" spans="1:4" x14ac:dyDescent="0.3">
      <c r="A54" s="82"/>
      <c r="B54" s="40" t="s">
        <v>49</v>
      </c>
      <c r="C54" s="40" t="s">
        <v>46</v>
      </c>
      <c r="D54" s="40">
        <v>819</v>
      </c>
    </row>
    <row r="55" spans="1:4" x14ac:dyDescent="0.3">
      <c r="A55" s="82"/>
      <c r="B55" s="40" t="s">
        <v>49</v>
      </c>
      <c r="C55" s="40" t="s">
        <v>39</v>
      </c>
      <c r="D55" s="40">
        <v>1512</v>
      </c>
    </row>
    <row r="56" spans="1:4" x14ac:dyDescent="0.3">
      <c r="A56" s="82"/>
      <c r="B56" s="40" t="s">
        <v>49</v>
      </c>
      <c r="C56" s="40" t="s">
        <v>89</v>
      </c>
      <c r="D56" s="40">
        <v>1857</v>
      </c>
    </row>
    <row r="57" spans="1:4" x14ac:dyDescent="0.3">
      <c r="A57" s="82"/>
      <c r="B57" s="40" t="s">
        <v>49</v>
      </c>
      <c r="C57" s="40" t="s">
        <v>90</v>
      </c>
      <c r="D57" s="40">
        <v>2084</v>
      </c>
    </row>
    <row r="58" spans="1:4" x14ac:dyDescent="0.3">
      <c r="A58" s="82"/>
      <c r="B58" s="40" t="s">
        <v>49</v>
      </c>
      <c r="C58" s="40" t="s">
        <v>91</v>
      </c>
      <c r="D58" s="40">
        <v>1874</v>
      </c>
    </row>
    <row r="59" spans="1:4" x14ac:dyDescent="0.3">
      <c r="A59" s="82"/>
      <c r="B59" s="40" t="s">
        <v>49</v>
      </c>
      <c r="C59" s="40" t="s">
        <v>40</v>
      </c>
      <c r="D59" s="40">
        <v>4514</v>
      </c>
    </row>
    <row r="60" spans="1:4" x14ac:dyDescent="0.3">
      <c r="A60" s="82"/>
      <c r="B60" s="40" t="s">
        <v>49</v>
      </c>
      <c r="C60" s="40" t="s">
        <v>92</v>
      </c>
      <c r="D60" s="40">
        <v>139</v>
      </c>
    </row>
    <row r="61" spans="1:4" x14ac:dyDescent="0.3">
      <c r="A61" s="82"/>
      <c r="B61" s="40" t="s">
        <v>49</v>
      </c>
      <c r="C61" s="40" t="s">
        <v>93</v>
      </c>
      <c r="D61" s="40">
        <v>801</v>
      </c>
    </row>
    <row r="62" spans="1:4" x14ac:dyDescent="0.3">
      <c r="A62" s="82"/>
      <c r="B62" s="40" t="s">
        <v>49</v>
      </c>
      <c r="C62" s="40" t="s">
        <v>41</v>
      </c>
      <c r="D62" s="40">
        <v>386</v>
      </c>
    </row>
    <row r="63" spans="1:4" x14ac:dyDescent="0.3">
      <c r="A63" s="82"/>
      <c r="B63" s="40" t="s">
        <v>49</v>
      </c>
      <c r="C63" s="40" t="s">
        <v>94</v>
      </c>
      <c r="D63" s="40">
        <v>3238</v>
      </c>
    </row>
    <row r="64" spans="1:4" x14ac:dyDescent="0.3">
      <c r="A64" s="82"/>
      <c r="B64" s="40" t="s">
        <v>49</v>
      </c>
      <c r="C64" s="40" t="s">
        <v>42</v>
      </c>
      <c r="D64" s="40">
        <v>1053</v>
      </c>
    </row>
    <row r="65" spans="1:4" x14ac:dyDescent="0.3">
      <c r="A65" s="82"/>
      <c r="B65" s="40" t="s">
        <v>49</v>
      </c>
      <c r="C65" s="40" t="s">
        <v>43</v>
      </c>
      <c r="D65" s="40">
        <v>2930</v>
      </c>
    </row>
    <row r="66" spans="1:4" x14ac:dyDescent="0.3">
      <c r="A66" s="82"/>
      <c r="B66" s="40" t="s">
        <v>49</v>
      </c>
      <c r="C66" s="40" t="s">
        <v>95</v>
      </c>
      <c r="D66" s="40">
        <v>777</v>
      </c>
    </row>
    <row r="67" spans="1:4" x14ac:dyDescent="0.3">
      <c r="A67" s="82"/>
      <c r="B67" s="40" t="s">
        <v>49</v>
      </c>
      <c r="C67" s="40" t="s">
        <v>96</v>
      </c>
      <c r="D67" s="40">
        <v>1803</v>
      </c>
    </row>
    <row r="68" spans="1:4" x14ac:dyDescent="0.3">
      <c r="A68" s="82"/>
      <c r="B68" s="40" t="s">
        <v>49</v>
      </c>
      <c r="C68" s="40" t="s">
        <v>97</v>
      </c>
      <c r="D68" s="40">
        <v>1301</v>
      </c>
    </row>
    <row r="69" spans="1:4" x14ac:dyDescent="0.3">
      <c r="A69" s="82"/>
      <c r="B69" s="40" t="s">
        <v>49</v>
      </c>
      <c r="C69" s="40" t="s">
        <v>98</v>
      </c>
      <c r="D69" s="40">
        <v>433</v>
      </c>
    </row>
    <row r="70" spans="1:4" x14ac:dyDescent="0.3">
      <c r="A70" s="82"/>
      <c r="B70" s="40" t="s">
        <v>49</v>
      </c>
      <c r="C70" s="40" t="s">
        <v>99</v>
      </c>
      <c r="D70" s="40">
        <v>2696</v>
      </c>
    </row>
    <row r="71" spans="1:4" x14ac:dyDescent="0.3">
      <c r="A71" s="82"/>
      <c r="B71" s="40" t="s">
        <v>49</v>
      </c>
      <c r="C71" s="40" t="s">
        <v>45</v>
      </c>
      <c r="D71" s="40">
        <v>1070</v>
      </c>
    </row>
    <row r="72" spans="1:4" x14ac:dyDescent="0.3">
      <c r="A72" s="82"/>
      <c r="B72" s="40" t="s">
        <v>49</v>
      </c>
      <c r="C72" s="40" t="s">
        <v>100</v>
      </c>
      <c r="D72" s="40">
        <v>959</v>
      </c>
    </row>
    <row r="73" spans="1:4" x14ac:dyDescent="0.3">
      <c r="A73" s="82"/>
      <c r="B73" s="40" t="s">
        <v>49</v>
      </c>
      <c r="C73" s="40" t="s">
        <v>44</v>
      </c>
      <c r="D73" s="40">
        <v>1398</v>
      </c>
    </row>
    <row r="74" spans="1:4" x14ac:dyDescent="0.3">
      <c r="A74" s="82"/>
      <c r="B74" s="40" t="s">
        <v>49</v>
      </c>
      <c r="C74" s="40" t="s">
        <v>101</v>
      </c>
      <c r="D74" s="40">
        <v>400</v>
      </c>
    </row>
    <row r="75" spans="1:4" x14ac:dyDescent="0.3">
      <c r="A75" s="82"/>
      <c r="B75" s="40" t="s">
        <v>49</v>
      </c>
      <c r="C75" s="40" t="s">
        <v>102</v>
      </c>
      <c r="D75" s="40">
        <v>558</v>
      </c>
    </row>
    <row r="76" spans="1:4" x14ac:dyDescent="0.3">
      <c r="A76" s="82"/>
      <c r="B76" s="41" t="s">
        <v>50</v>
      </c>
      <c r="C76" s="41"/>
      <c r="D76" s="41">
        <f>SUM(D31:D75)</f>
        <v>71635</v>
      </c>
    </row>
    <row r="77" spans="1:4" x14ac:dyDescent="0.3">
      <c r="A77" s="82">
        <v>8</v>
      </c>
      <c r="B77" s="40" t="s">
        <v>71</v>
      </c>
      <c r="C77" s="40" t="s">
        <v>95</v>
      </c>
      <c r="D77" s="40">
        <v>471</v>
      </c>
    </row>
    <row r="78" spans="1:4" x14ac:dyDescent="0.3">
      <c r="A78" s="82"/>
      <c r="B78" s="40" t="s">
        <v>71</v>
      </c>
      <c r="C78" s="40" t="s">
        <v>103</v>
      </c>
      <c r="D78" s="40">
        <v>188</v>
      </c>
    </row>
    <row r="79" spans="1:4" x14ac:dyDescent="0.3">
      <c r="A79" s="82"/>
      <c r="B79" s="40" t="s">
        <v>71</v>
      </c>
      <c r="C79" s="40" t="s">
        <v>104</v>
      </c>
      <c r="D79" s="40">
        <v>1994</v>
      </c>
    </row>
    <row r="80" spans="1:4" x14ac:dyDescent="0.3">
      <c r="A80" s="82"/>
      <c r="B80" s="40" t="s">
        <v>71</v>
      </c>
      <c r="C80" s="40" t="s">
        <v>105</v>
      </c>
      <c r="D80" s="40">
        <v>1041</v>
      </c>
    </row>
    <row r="81" spans="1:4" x14ac:dyDescent="0.3">
      <c r="A81" s="82"/>
      <c r="B81" s="40" t="s">
        <v>71</v>
      </c>
      <c r="C81" s="40" t="s">
        <v>106</v>
      </c>
      <c r="D81" s="40">
        <v>235</v>
      </c>
    </row>
    <row r="82" spans="1:4" x14ac:dyDescent="0.3">
      <c r="A82" s="82"/>
      <c r="B82" s="40" t="s">
        <v>71</v>
      </c>
      <c r="C82" s="40" t="s">
        <v>107</v>
      </c>
      <c r="D82" s="40">
        <v>2459</v>
      </c>
    </row>
    <row r="83" spans="1:4" x14ac:dyDescent="0.3">
      <c r="A83" s="82"/>
      <c r="B83" s="40" t="s">
        <v>71</v>
      </c>
      <c r="C83" s="40" t="s">
        <v>108</v>
      </c>
      <c r="D83" s="40">
        <v>1148</v>
      </c>
    </row>
    <row r="84" spans="1:4" x14ac:dyDescent="0.3">
      <c r="A84" s="82"/>
      <c r="B84" s="40" t="s">
        <v>71</v>
      </c>
      <c r="C84" s="40" t="s">
        <v>109</v>
      </c>
      <c r="D84" s="40">
        <v>197</v>
      </c>
    </row>
    <row r="85" spans="1:4" x14ac:dyDescent="0.3">
      <c r="A85" s="82"/>
      <c r="B85" s="40" t="s">
        <v>71</v>
      </c>
      <c r="C85" s="40" t="s">
        <v>110</v>
      </c>
      <c r="D85" s="40">
        <v>424</v>
      </c>
    </row>
    <row r="86" spans="1:4" x14ac:dyDescent="0.3">
      <c r="A86" s="82"/>
      <c r="B86" s="40" t="s">
        <v>71</v>
      </c>
      <c r="C86" s="40" t="s">
        <v>111</v>
      </c>
      <c r="D86" s="40">
        <v>741</v>
      </c>
    </row>
    <row r="87" spans="1:4" x14ac:dyDescent="0.3">
      <c r="A87" s="82"/>
      <c r="B87" s="41" t="s">
        <v>50</v>
      </c>
      <c r="C87" s="41"/>
      <c r="D87" s="41">
        <v>8898</v>
      </c>
    </row>
    <row r="88" spans="1:4" x14ac:dyDescent="0.3">
      <c r="A88" s="82">
        <v>9</v>
      </c>
      <c r="B88" s="40" t="s">
        <v>72</v>
      </c>
      <c r="C88" s="40" t="s">
        <v>105</v>
      </c>
      <c r="D88" s="40">
        <v>448</v>
      </c>
    </row>
    <row r="89" spans="1:4" x14ac:dyDescent="0.3">
      <c r="A89" s="82"/>
      <c r="B89" s="40" t="s">
        <v>72</v>
      </c>
      <c r="C89" s="40" t="s">
        <v>109</v>
      </c>
      <c r="D89" s="40">
        <v>594</v>
      </c>
    </row>
    <row r="90" spans="1:4" x14ac:dyDescent="0.3">
      <c r="A90" s="82"/>
      <c r="B90" s="40" t="s">
        <v>72</v>
      </c>
      <c r="C90" s="40" t="s">
        <v>112</v>
      </c>
      <c r="D90" s="40">
        <v>275</v>
      </c>
    </row>
    <row r="91" spans="1:4" x14ac:dyDescent="0.3">
      <c r="A91" s="82"/>
      <c r="B91" s="40" t="s">
        <v>72</v>
      </c>
      <c r="C91" s="40" t="s">
        <v>113</v>
      </c>
      <c r="D91" s="40">
        <v>1031</v>
      </c>
    </row>
    <row r="92" spans="1:4" x14ac:dyDescent="0.3">
      <c r="A92" s="82"/>
      <c r="B92" s="40" t="s">
        <v>72</v>
      </c>
      <c r="C92" s="40" t="s">
        <v>114</v>
      </c>
      <c r="D92" s="40">
        <v>591</v>
      </c>
    </row>
    <row r="93" spans="1:4" x14ac:dyDescent="0.3">
      <c r="A93" s="82"/>
      <c r="B93" s="40" t="s">
        <v>72</v>
      </c>
      <c r="C93" s="40" t="s">
        <v>115</v>
      </c>
      <c r="D93" s="40">
        <v>236</v>
      </c>
    </row>
    <row r="94" spans="1:4" x14ac:dyDescent="0.3">
      <c r="A94" s="82"/>
      <c r="B94" s="41" t="s">
        <v>50</v>
      </c>
      <c r="C94" s="41"/>
      <c r="D94" s="41">
        <v>3175</v>
      </c>
    </row>
  </sheetData>
  <autoFilter ref="A1:D94" xr:uid="{E8A791F2-212D-4A5F-8BE2-E9548839E2A7}"/>
  <mergeCells count="9">
    <mergeCell ref="A31:A76"/>
    <mergeCell ref="A77:A87"/>
    <mergeCell ref="A88:A94"/>
    <mergeCell ref="A2:A6"/>
    <mergeCell ref="A7:A11"/>
    <mergeCell ref="A12:A15"/>
    <mergeCell ref="A16:A20"/>
    <mergeCell ref="A21:A25"/>
    <mergeCell ref="A26:A3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Müügiobjektid</vt:lpstr>
      <vt:lpstr>asukoht</vt:lpstr>
    </vt:vector>
  </TitlesOfParts>
  <Company>RMK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Romet Jürgenson</dc:creator>
  <cp:lastModifiedBy>Urmas Treial</cp:lastModifiedBy>
  <dcterms:created xsi:type="dcterms:W3CDTF">2020-10-21T12:57:45Z</dcterms:created>
  <dcterms:modified xsi:type="dcterms:W3CDTF">2025-06-12T11:59:48Z</dcterms:modified>
</cp:coreProperties>
</file>